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Contro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color rgb="00633806"/>
      <sz val="10"/>
    </font>
    <font>
      <name val="Arial"/>
      <color rgb="00000000"/>
      <sz val="10"/>
    </font>
    <font>
      <name val="Arial"/>
      <b val="1"/>
      <color rgb="000C447C"/>
      <sz val="11"/>
    </font>
    <font>
      <name val="Arial"/>
      <b val="1"/>
      <color rgb="00FFFFFF"/>
      <sz val="10"/>
    </font>
    <font>
      <name val="Arial"/>
      <color rgb="00712B13"/>
      <sz val="10"/>
    </font>
    <font>
      <name val="Arial"/>
      <b val="1"/>
      <color rgb="00712B13"/>
      <sz val="10"/>
    </font>
    <font>
      <name val="Arial"/>
      <b val="1"/>
      <color rgb="00085041"/>
      <sz val="10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185FA5"/>
      </patternFill>
    </fill>
    <fill>
      <patternFill patternType="solid">
        <fgColor rgb="00FAECE7"/>
      </patternFill>
    </fill>
    <fill>
      <patternFill patternType="solid">
        <fgColor rgb="00F7F9FC"/>
      </patternFill>
    </fill>
    <fill>
      <patternFill patternType="solid">
        <fgColor rgb="00E1F5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8D8E8"/>
      </left>
      <right style="thin">
        <color rgb="00C8D8E8"/>
      </right>
      <top style="thin">
        <color rgb="00C8D8E8"/>
      </top>
      <bottom style="thin">
        <color rgb="00C8D8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8" customWidth="1" min="4" max="4"/>
    <col width="14" customWidth="1" min="5" max="5"/>
    <col width="14" customWidth="1" min="6" max="6"/>
    <col width="36" customWidth="1" min="7" max="7"/>
    <col width="30" customWidth="1" min="8" max="8"/>
    <col width="18" customWidth="1" min="9" max="9"/>
    <col width="18" customWidth="1" min="10" max="10"/>
    <col width="14" customWidth="1" min="11" max="11"/>
    <col width="80" customWidth="1" min="12" max="12"/>
  </cols>
  <sheetData>
    <row r="1" ht="36" customHeight="1">
      <c r="A1" s="1" t="inlineStr">
        <is>
          <t>AuditPilot — Monthly Access Control Report</t>
        </is>
      </c>
    </row>
    <row r="2" ht="22" customHeight="1">
      <c r="A2" s="2" t="inlineStr">
        <is>
          <t>Report month:</t>
        </is>
      </c>
      <c r="E2" s="3">
        <f>TEXT(TODAY(),"MMMM YYYY")</f>
        <v/>
      </c>
      <c r="H2" s="4" t="inlineStr">
        <is>
          <t>Generated by AuditPilot</t>
        </is>
      </c>
      <c r="K2" s="5">
        <f>TEXT(NOW(),"DD-MMM-YYYY HH:MM")</f>
        <v/>
      </c>
    </row>
    <row r="3" ht="24" customHeight="1">
      <c r="A3" s="6" t="inlineStr">
        <is>
          <t xml:space="preserve">  Fivetran  —  Production DB</t>
        </is>
      </c>
    </row>
    <row r="4" ht="20" customHeight="1">
      <c r="A4" s="7" t="inlineStr">
        <is>
          <t>#</t>
        </is>
      </c>
      <c r="B4" s="7" t="inlineStr">
        <is>
          <t>Connection</t>
        </is>
      </c>
      <c r="C4" s="7" t="inlineStr">
        <is>
          <t>Tab</t>
        </is>
      </c>
      <c r="D4" s="7" t="inlineStr">
        <is>
          <t>Captured at</t>
        </is>
      </c>
      <c r="E4" s="7" t="inlineStr">
        <is>
          <t>Status</t>
        </is>
      </c>
      <c r="F4" s="7" t="inlineStr">
        <is>
          <t>Confidence</t>
        </is>
      </c>
      <c r="G4" s="7" t="inlineStr">
        <is>
          <t>AI Summary</t>
        </is>
      </c>
      <c r="H4" s="7" t="inlineStr">
        <is>
          <t>Anomalies detected</t>
        </is>
      </c>
      <c r="I4" s="7" t="inlineStr">
        <is>
          <t>Reviewer</t>
        </is>
      </c>
      <c r="J4" s="7" t="inlineStr">
        <is>
          <t>Review date</t>
        </is>
      </c>
      <c r="K4" s="7" t="inlineStr">
        <is>
          <t>Decision</t>
        </is>
      </c>
      <c r="L4" s="7" t="inlineStr">
        <is>
          <t>Screenshot</t>
        </is>
      </c>
    </row>
    <row r="5" ht="120" customHeight="1">
      <c r="A5" s="8" t="n">
        <v>1</v>
      </c>
      <c r="B5" s="9" t="inlineStr">
        <is>
          <t>Production DB</t>
        </is>
      </c>
      <c r="C5" s="9" t="inlineStr">
        <is>
          <t>Users</t>
        </is>
      </c>
      <c r="D5" s="9" t="inlineStr"/>
      <c r="E5" s="10" t="inlineStr">
        <is>
          <t>⚠ Anomaly</t>
        </is>
      </c>
      <c r="F5" s="8" t="inlineStr"/>
      <c r="G5" s="11" t="inlineStr"/>
      <c r="H5" s="11" t="inlineStr"/>
      <c r="I5" s="9" t="inlineStr"/>
      <c r="J5" s="9" t="inlineStr"/>
      <c r="K5" s="12" t="inlineStr">
        <is>
          <t>Pending review</t>
        </is>
      </c>
      <c r="L5" s="11" t="inlineStr">
        <is>
          <t>[Screenshot pasted here]</t>
        </is>
      </c>
    </row>
    <row r="6" ht="120" customHeight="1">
      <c r="A6" s="13" t="n">
        <v>2</v>
      </c>
      <c r="B6" s="14" t="inlineStr">
        <is>
          <t>Production DB</t>
        </is>
      </c>
      <c r="C6" s="14" t="inlineStr">
        <is>
          <t>Teams</t>
        </is>
      </c>
      <c r="D6" s="14" t="inlineStr"/>
      <c r="E6" s="15" t="inlineStr">
        <is>
          <t>✓ Clean</t>
        </is>
      </c>
      <c r="F6" s="13" t="inlineStr"/>
      <c r="G6" s="16" t="inlineStr"/>
      <c r="H6" s="16" t="inlineStr"/>
      <c r="I6" s="14" t="inlineStr"/>
      <c r="J6" s="14" t="inlineStr"/>
      <c r="K6" s="13" t="inlineStr">
        <is>
          <t>Auto-approved</t>
        </is>
      </c>
      <c r="L6" s="16" t="inlineStr">
        <is>
          <t>[Screenshot pasted here]</t>
        </is>
      </c>
    </row>
    <row r="7" ht="8" customHeight="1"/>
    <row r="8" ht="24" customHeight="1">
      <c r="A8" s="6" t="inlineStr">
        <is>
          <t xml:space="preserve">  Fivetran  —  Analytics DB</t>
        </is>
      </c>
    </row>
    <row r="9" ht="20" customHeight="1">
      <c r="A9" s="7" t="inlineStr">
        <is>
          <t>#</t>
        </is>
      </c>
      <c r="B9" s="7" t="inlineStr">
        <is>
          <t>Connection</t>
        </is>
      </c>
      <c r="C9" s="7" t="inlineStr">
        <is>
          <t>Tab</t>
        </is>
      </c>
      <c r="D9" s="7" t="inlineStr">
        <is>
          <t>Captured at</t>
        </is>
      </c>
      <c r="E9" s="7" t="inlineStr">
        <is>
          <t>Status</t>
        </is>
      </c>
      <c r="F9" s="7" t="inlineStr">
        <is>
          <t>Confidence</t>
        </is>
      </c>
      <c r="G9" s="7" t="inlineStr">
        <is>
          <t>AI Summary</t>
        </is>
      </c>
      <c r="H9" s="7" t="inlineStr">
        <is>
          <t>Anomalies detected</t>
        </is>
      </c>
      <c r="I9" s="7" t="inlineStr">
        <is>
          <t>Reviewer</t>
        </is>
      </c>
      <c r="J9" s="7" t="inlineStr">
        <is>
          <t>Review date</t>
        </is>
      </c>
      <c r="K9" s="7" t="inlineStr">
        <is>
          <t>Decision</t>
        </is>
      </c>
      <c r="L9" s="7" t="inlineStr">
        <is>
          <t>Screenshot</t>
        </is>
      </c>
    </row>
    <row r="10" ht="120" customHeight="1">
      <c r="A10" s="17" t="n">
        <v>3</v>
      </c>
      <c r="B10" s="18" t="inlineStr">
        <is>
          <t>Analytics DB</t>
        </is>
      </c>
      <c r="C10" s="18" t="inlineStr">
        <is>
          <t>Users</t>
        </is>
      </c>
      <c r="D10" s="18" t="inlineStr"/>
      <c r="E10" s="15" t="inlineStr">
        <is>
          <t>✓ Clean</t>
        </is>
      </c>
      <c r="F10" s="17" t="inlineStr"/>
      <c r="G10" s="19" t="inlineStr"/>
      <c r="H10" s="19" t="inlineStr"/>
      <c r="I10" s="18" t="inlineStr"/>
      <c r="J10" s="18" t="inlineStr"/>
      <c r="K10" s="17" t="inlineStr">
        <is>
          <t>Auto-approved</t>
        </is>
      </c>
      <c r="L10" s="19" t="inlineStr">
        <is>
          <t>[Screenshot pasted here]</t>
        </is>
      </c>
    </row>
    <row r="11" ht="120" customHeight="1">
      <c r="A11" s="13" t="n">
        <v>4</v>
      </c>
      <c r="B11" s="14" t="inlineStr">
        <is>
          <t>Analytics DB</t>
        </is>
      </c>
      <c r="C11" s="14" t="inlineStr">
        <is>
          <t>Teams</t>
        </is>
      </c>
      <c r="D11" s="14" t="inlineStr"/>
      <c r="E11" s="15" t="inlineStr">
        <is>
          <t>✓ Clean</t>
        </is>
      </c>
      <c r="F11" s="13" t="inlineStr"/>
      <c r="G11" s="16" t="inlineStr"/>
      <c r="H11" s="16" t="inlineStr"/>
      <c r="I11" s="14" t="inlineStr"/>
      <c r="J11" s="14" t="inlineStr"/>
      <c r="K11" s="13" t="inlineStr">
        <is>
          <t>Auto-approved</t>
        </is>
      </c>
      <c r="L11" s="16" t="inlineStr">
        <is>
          <t>[Screenshot pasted here]</t>
        </is>
      </c>
    </row>
    <row r="12" ht="8" customHeight="1"/>
    <row r="13" ht="24" customHeight="1">
      <c r="A13" s="6" t="inlineStr">
        <is>
          <t xml:space="preserve">  Fivetran  —  Marketing DB</t>
        </is>
      </c>
    </row>
    <row r="14" ht="20" customHeight="1">
      <c r="A14" s="7" t="inlineStr">
        <is>
          <t>#</t>
        </is>
      </c>
      <c r="B14" s="7" t="inlineStr">
        <is>
          <t>Connection</t>
        </is>
      </c>
      <c r="C14" s="7" t="inlineStr">
        <is>
          <t>Tab</t>
        </is>
      </c>
      <c r="D14" s="7" t="inlineStr">
        <is>
          <t>Captured at</t>
        </is>
      </c>
      <c r="E14" s="7" t="inlineStr">
        <is>
          <t>Status</t>
        </is>
      </c>
      <c r="F14" s="7" t="inlineStr">
        <is>
          <t>Confidence</t>
        </is>
      </c>
      <c r="G14" s="7" t="inlineStr">
        <is>
          <t>AI Summary</t>
        </is>
      </c>
      <c r="H14" s="7" t="inlineStr">
        <is>
          <t>Anomalies detected</t>
        </is>
      </c>
      <c r="I14" s="7" t="inlineStr">
        <is>
          <t>Reviewer</t>
        </is>
      </c>
      <c r="J14" s="7" t="inlineStr">
        <is>
          <t>Review date</t>
        </is>
      </c>
      <c r="K14" s="7" t="inlineStr">
        <is>
          <t>Decision</t>
        </is>
      </c>
      <c r="L14" s="7" t="inlineStr">
        <is>
          <t>Screenshot</t>
        </is>
      </c>
    </row>
    <row r="15" ht="120" customHeight="1">
      <c r="A15" s="17" t="n">
        <v>5</v>
      </c>
      <c r="B15" s="18" t="inlineStr">
        <is>
          <t>Marketing DB</t>
        </is>
      </c>
      <c r="C15" s="18" t="inlineStr">
        <is>
          <t>Users</t>
        </is>
      </c>
      <c r="D15" s="18" t="inlineStr"/>
      <c r="E15" s="15" t="inlineStr">
        <is>
          <t>✓ Clean</t>
        </is>
      </c>
      <c r="F15" s="17" t="inlineStr"/>
      <c r="G15" s="19" t="inlineStr"/>
      <c r="H15" s="19" t="inlineStr"/>
      <c r="I15" s="18" t="inlineStr"/>
      <c r="J15" s="18" t="inlineStr"/>
      <c r="K15" s="17" t="inlineStr">
        <is>
          <t>Auto-approved</t>
        </is>
      </c>
      <c r="L15" s="19" t="inlineStr">
        <is>
          <t>[Screenshot pasted here]</t>
        </is>
      </c>
    </row>
    <row r="16" ht="120" customHeight="1">
      <c r="A16" s="13" t="n">
        <v>6</v>
      </c>
      <c r="B16" s="14" t="inlineStr">
        <is>
          <t>Marketing DB</t>
        </is>
      </c>
      <c r="C16" s="14" t="inlineStr">
        <is>
          <t>Teams</t>
        </is>
      </c>
      <c r="D16" s="14" t="inlineStr"/>
      <c r="E16" s="15" t="inlineStr">
        <is>
          <t>✓ Clean</t>
        </is>
      </c>
      <c r="F16" s="13" t="inlineStr"/>
      <c r="G16" s="16" t="inlineStr"/>
      <c r="H16" s="16" t="inlineStr"/>
      <c r="I16" s="14" t="inlineStr"/>
      <c r="J16" s="14" t="inlineStr"/>
      <c r="K16" s="13" t="inlineStr">
        <is>
          <t>Auto-approved</t>
        </is>
      </c>
      <c r="L16" s="16" t="inlineStr">
        <is>
          <t>[Screenshot pasted here]</t>
        </is>
      </c>
    </row>
    <row r="17" ht="8" customHeight="1"/>
    <row r="18" ht="24" customHeight="1">
      <c r="A18" s="6" t="inlineStr">
        <is>
          <t xml:space="preserve">  Fivetran  —  Sales DB</t>
        </is>
      </c>
    </row>
    <row r="19" ht="20" customHeight="1">
      <c r="A19" s="7" t="inlineStr">
        <is>
          <t>#</t>
        </is>
      </c>
      <c r="B19" s="7" t="inlineStr">
        <is>
          <t>Connection</t>
        </is>
      </c>
      <c r="C19" s="7" t="inlineStr">
        <is>
          <t>Tab</t>
        </is>
      </c>
      <c r="D19" s="7" t="inlineStr">
        <is>
          <t>Captured at</t>
        </is>
      </c>
      <c r="E19" s="7" t="inlineStr">
        <is>
          <t>Status</t>
        </is>
      </c>
      <c r="F19" s="7" t="inlineStr">
        <is>
          <t>Confidence</t>
        </is>
      </c>
      <c r="G19" s="7" t="inlineStr">
        <is>
          <t>AI Summary</t>
        </is>
      </c>
      <c r="H19" s="7" t="inlineStr">
        <is>
          <t>Anomalies detected</t>
        </is>
      </c>
      <c r="I19" s="7" t="inlineStr">
        <is>
          <t>Reviewer</t>
        </is>
      </c>
      <c r="J19" s="7" t="inlineStr">
        <is>
          <t>Review date</t>
        </is>
      </c>
      <c r="K19" s="7" t="inlineStr">
        <is>
          <t>Decision</t>
        </is>
      </c>
      <c r="L19" s="7" t="inlineStr">
        <is>
          <t>Screenshot</t>
        </is>
      </c>
    </row>
    <row r="20" ht="120" customHeight="1">
      <c r="A20" s="17" t="n">
        <v>7</v>
      </c>
      <c r="B20" s="18" t="inlineStr">
        <is>
          <t>Sales DB</t>
        </is>
      </c>
      <c r="C20" s="18" t="inlineStr">
        <is>
          <t>Users</t>
        </is>
      </c>
      <c r="D20" s="18" t="inlineStr"/>
      <c r="E20" s="15" t="inlineStr">
        <is>
          <t>✓ Clean</t>
        </is>
      </c>
      <c r="F20" s="17" t="inlineStr"/>
      <c r="G20" s="19" t="inlineStr"/>
      <c r="H20" s="19" t="inlineStr"/>
      <c r="I20" s="18" t="inlineStr"/>
      <c r="J20" s="18" t="inlineStr"/>
      <c r="K20" s="17" t="inlineStr">
        <is>
          <t>Auto-approved</t>
        </is>
      </c>
      <c r="L20" s="19" t="inlineStr">
        <is>
          <t>[Screenshot pasted here]</t>
        </is>
      </c>
    </row>
    <row r="21" ht="120" customHeight="1">
      <c r="A21" s="13" t="n">
        <v>8</v>
      </c>
      <c r="B21" s="14" t="inlineStr">
        <is>
          <t>Sales DB</t>
        </is>
      </c>
      <c r="C21" s="14" t="inlineStr">
        <is>
          <t>Teams</t>
        </is>
      </c>
      <c r="D21" s="14" t="inlineStr"/>
      <c r="E21" s="15" t="inlineStr">
        <is>
          <t>✓ Clean</t>
        </is>
      </c>
      <c r="F21" s="13" t="inlineStr"/>
      <c r="G21" s="16" t="inlineStr"/>
      <c r="H21" s="16" t="inlineStr"/>
      <c r="I21" s="14" t="inlineStr"/>
      <c r="J21" s="14" t="inlineStr"/>
      <c r="K21" s="13" t="inlineStr">
        <is>
          <t>Auto-approved</t>
        </is>
      </c>
      <c r="L21" s="16" t="inlineStr">
        <is>
          <t>[Screenshot pasted here]</t>
        </is>
      </c>
    </row>
    <row r="22" ht="8" customHeight="1"/>
    <row r="23" ht="24" customHeight="1">
      <c r="A23" s="6" t="inlineStr">
        <is>
          <t xml:space="preserve">  Fivetran  —  Finance DB</t>
        </is>
      </c>
    </row>
    <row r="24" ht="20" customHeight="1">
      <c r="A24" s="7" t="inlineStr">
        <is>
          <t>#</t>
        </is>
      </c>
      <c r="B24" s="7" t="inlineStr">
        <is>
          <t>Connection</t>
        </is>
      </c>
      <c r="C24" s="7" t="inlineStr">
        <is>
          <t>Tab</t>
        </is>
      </c>
      <c r="D24" s="7" t="inlineStr">
        <is>
          <t>Captured at</t>
        </is>
      </c>
      <c r="E24" s="7" t="inlineStr">
        <is>
          <t>Status</t>
        </is>
      </c>
      <c r="F24" s="7" t="inlineStr">
        <is>
          <t>Confidence</t>
        </is>
      </c>
      <c r="G24" s="7" t="inlineStr">
        <is>
          <t>AI Summary</t>
        </is>
      </c>
      <c r="H24" s="7" t="inlineStr">
        <is>
          <t>Anomalies detected</t>
        </is>
      </c>
      <c r="I24" s="7" t="inlineStr">
        <is>
          <t>Reviewer</t>
        </is>
      </c>
      <c r="J24" s="7" t="inlineStr">
        <is>
          <t>Review date</t>
        </is>
      </c>
      <c r="K24" s="7" t="inlineStr">
        <is>
          <t>Decision</t>
        </is>
      </c>
      <c r="L24" s="7" t="inlineStr">
        <is>
          <t>Screenshot</t>
        </is>
      </c>
    </row>
    <row r="25" ht="120" customHeight="1">
      <c r="A25" s="17" t="n">
        <v>9</v>
      </c>
      <c r="B25" s="18" t="inlineStr">
        <is>
          <t>Finance DB</t>
        </is>
      </c>
      <c r="C25" s="18" t="inlineStr">
        <is>
          <t>Users</t>
        </is>
      </c>
      <c r="D25" s="18" t="inlineStr"/>
      <c r="E25" s="15" t="inlineStr">
        <is>
          <t>✓ Clean</t>
        </is>
      </c>
      <c r="F25" s="17" t="inlineStr"/>
      <c r="G25" s="19" t="inlineStr"/>
      <c r="H25" s="19" t="inlineStr"/>
      <c r="I25" s="18" t="inlineStr"/>
      <c r="J25" s="18" t="inlineStr"/>
      <c r="K25" s="17" t="inlineStr">
        <is>
          <t>Auto-approved</t>
        </is>
      </c>
      <c r="L25" s="19" t="inlineStr">
        <is>
          <t>[Screenshot pasted here]</t>
        </is>
      </c>
    </row>
    <row r="26" ht="120" customHeight="1">
      <c r="A26" s="13" t="n">
        <v>10</v>
      </c>
      <c r="B26" s="14" t="inlineStr">
        <is>
          <t>Finance DB</t>
        </is>
      </c>
      <c r="C26" s="14" t="inlineStr">
        <is>
          <t>Teams</t>
        </is>
      </c>
      <c r="D26" s="14" t="inlineStr"/>
      <c r="E26" s="15" t="inlineStr">
        <is>
          <t>✓ Clean</t>
        </is>
      </c>
      <c r="F26" s="13" t="inlineStr"/>
      <c r="G26" s="16" t="inlineStr"/>
      <c r="H26" s="16" t="inlineStr"/>
      <c r="I26" s="14" t="inlineStr"/>
      <c r="J26" s="14" t="inlineStr"/>
      <c r="K26" s="13" t="inlineStr">
        <is>
          <t>Auto-approved</t>
        </is>
      </c>
      <c r="L26" s="16" t="inlineStr">
        <is>
          <t>[Screenshot pasted here]</t>
        </is>
      </c>
    </row>
    <row r="27" ht="8" customHeight="1"/>
    <row r="28" ht="24" customHeight="1">
      <c r="A28" s="6" t="inlineStr">
        <is>
          <t xml:space="preserve">  Snowflake  —  PROD_WAREHOUSE</t>
        </is>
      </c>
    </row>
    <row r="29" ht="20" customHeight="1">
      <c r="A29" s="7" t="inlineStr">
        <is>
          <t>#</t>
        </is>
      </c>
      <c r="B29" s="7" t="inlineStr">
        <is>
          <t>Connection</t>
        </is>
      </c>
      <c r="C29" s="7" t="inlineStr">
        <is>
          <t>Tab</t>
        </is>
      </c>
      <c r="D29" s="7" t="inlineStr">
        <is>
          <t>Captured at</t>
        </is>
      </c>
      <c r="E29" s="7" t="inlineStr">
        <is>
          <t>Status</t>
        </is>
      </c>
      <c r="F29" s="7" t="inlineStr">
        <is>
          <t>Confidence</t>
        </is>
      </c>
      <c r="G29" s="7" t="inlineStr">
        <is>
          <t>AI Summary</t>
        </is>
      </c>
      <c r="H29" s="7" t="inlineStr">
        <is>
          <t>Anomalies detected</t>
        </is>
      </c>
      <c r="I29" s="7" t="inlineStr">
        <is>
          <t>Reviewer</t>
        </is>
      </c>
      <c r="J29" s="7" t="inlineStr">
        <is>
          <t>Review date</t>
        </is>
      </c>
      <c r="K29" s="7" t="inlineStr">
        <is>
          <t>Decision</t>
        </is>
      </c>
      <c r="L29" s="7" t="inlineStr">
        <is>
          <t>Screenshot</t>
        </is>
      </c>
    </row>
    <row r="30" ht="120" customHeight="1">
      <c r="A30" s="17" t="n">
        <v>11</v>
      </c>
      <c r="B30" s="18" t="inlineStr">
        <is>
          <t>PROD_WAREHOUSE</t>
        </is>
      </c>
      <c r="C30" s="18" t="inlineStr">
        <is>
          <t>Users</t>
        </is>
      </c>
      <c r="D30" s="18" t="inlineStr"/>
      <c r="E30" s="15" t="inlineStr">
        <is>
          <t>✓ Clean</t>
        </is>
      </c>
      <c r="F30" s="17" t="inlineStr"/>
      <c r="G30" s="19" t="inlineStr"/>
      <c r="H30" s="19" t="inlineStr"/>
      <c r="I30" s="18" t="inlineStr"/>
      <c r="J30" s="18" t="inlineStr"/>
      <c r="K30" s="17" t="inlineStr">
        <is>
          <t>Auto-approved</t>
        </is>
      </c>
      <c r="L30" s="19" t="inlineStr">
        <is>
          <t>[Screenshot pasted here]</t>
        </is>
      </c>
    </row>
    <row r="31" ht="120" customHeight="1">
      <c r="A31" s="13" t="n">
        <v>12</v>
      </c>
      <c r="B31" s="14" t="inlineStr">
        <is>
          <t>PROD_WAREHOUSE</t>
        </is>
      </c>
      <c r="C31" s="14" t="inlineStr">
        <is>
          <t>Roles</t>
        </is>
      </c>
      <c r="D31" s="14" t="inlineStr"/>
      <c r="E31" s="15" t="inlineStr">
        <is>
          <t>✓ Clean</t>
        </is>
      </c>
      <c r="F31" s="13" t="inlineStr"/>
      <c r="G31" s="16" t="inlineStr"/>
      <c r="H31" s="16" t="inlineStr"/>
      <c r="I31" s="14" t="inlineStr"/>
      <c r="J31" s="14" t="inlineStr"/>
      <c r="K31" s="13" t="inlineStr">
        <is>
          <t>Auto-approved</t>
        </is>
      </c>
      <c r="L31" s="16" t="inlineStr">
        <is>
          <t>[Screenshot pasted here]</t>
        </is>
      </c>
    </row>
    <row r="32" ht="8" customHeight="1"/>
    <row r="33" ht="24" customHeight="1">
      <c r="A33" s="6" t="inlineStr">
        <is>
          <t xml:space="preserve">  Snowflake  —  DEV_WAREHOUSE</t>
        </is>
      </c>
    </row>
    <row r="34" ht="20" customHeight="1">
      <c r="A34" s="7" t="inlineStr">
        <is>
          <t>#</t>
        </is>
      </c>
      <c r="B34" s="7" t="inlineStr">
        <is>
          <t>Connection</t>
        </is>
      </c>
      <c r="C34" s="7" t="inlineStr">
        <is>
          <t>Tab</t>
        </is>
      </c>
      <c r="D34" s="7" t="inlineStr">
        <is>
          <t>Captured at</t>
        </is>
      </c>
      <c r="E34" s="7" t="inlineStr">
        <is>
          <t>Status</t>
        </is>
      </c>
      <c r="F34" s="7" t="inlineStr">
        <is>
          <t>Confidence</t>
        </is>
      </c>
      <c r="G34" s="7" t="inlineStr">
        <is>
          <t>AI Summary</t>
        </is>
      </c>
      <c r="H34" s="7" t="inlineStr">
        <is>
          <t>Anomalies detected</t>
        </is>
      </c>
      <c r="I34" s="7" t="inlineStr">
        <is>
          <t>Reviewer</t>
        </is>
      </c>
      <c r="J34" s="7" t="inlineStr">
        <is>
          <t>Review date</t>
        </is>
      </c>
      <c r="K34" s="7" t="inlineStr">
        <is>
          <t>Decision</t>
        </is>
      </c>
      <c r="L34" s="7" t="inlineStr">
        <is>
          <t>Screenshot</t>
        </is>
      </c>
    </row>
    <row r="35" ht="120" customHeight="1">
      <c r="A35" s="17" t="n">
        <v>13</v>
      </c>
      <c r="B35" s="18" t="inlineStr">
        <is>
          <t>DEV_WAREHOUSE</t>
        </is>
      </c>
      <c r="C35" s="18" t="inlineStr">
        <is>
          <t>Users</t>
        </is>
      </c>
      <c r="D35" s="18" t="inlineStr"/>
      <c r="E35" s="15" t="inlineStr">
        <is>
          <t>✓ Clean</t>
        </is>
      </c>
      <c r="F35" s="17" t="inlineStr"/>
      <c r="G35" s="19" t="inlineStr"/>
      <c r="H35" s="19" t="inlineStr"/>
      <c r="I35" s="18" t="inlineStr"/>
      <c r="J35" s="18" t="inlineStr"/>
      <c r="K35" s="17" t="inlineStr">
        <is>
          <t>Auto-approved</t>
        </is>
      </c>
      <c r="L35" s="19" t="inlineStr">
        <is>
          <t>[Screenshot pasted here]</t>
        </is>
      </c>
    </row>
    <row r="36" ht="120" customHeight="1">
      <c r="A36" s="13" t="n">
        <v>14</v>
      </c>
      <c r="B36" s="14" t="inlineStr">
        <is>
          <t>DEV_WAREHOUSE</t>
        </is>
      </c>
      <c r="C36" s="14" t="inlineStr">
        <is>
          <t>Roles</t>
        </is>
      </c>
      <c r="D36" s="14" t="inlineStr"/>
      <c r="E36" s="15" t="inlineStr">
        <is>
          <t>✓ Clean</t>
        </is>
      </c>
      <c r="F36" s="13" t="inlineStr"/>
      <c r="G36" s="16" t="inlineStr"/>
      <c r="H36" s="16" t="inlineStr"/>
      <c r="I36" s="14" t="inlineStr"/>
      <c r="J36" s="14" t="inlineStr"/>
      <c r="K36" s="13" t="inlineStr">
        <is>
          <t>Auto-approved</t>
        </is>
      </c>
      <c r="L36" s="16" t="inlineStr">
        <is>
          <t>[Screenshot pasted here]</t>
        </is>
      </c>
    </row>
    <row r="37" ht="8" customHeight="1"/>
    <row r="38" ht="24" customHeight="1">
      <c r="A38" s="6" t="inlineStr">
        <is>
          <t xml:space="preserve">  GitHub  —  org/main-repo</t>
        </is>
      </c>
    </row>
    <row r="39" ht="20" customHeight="1">
      <c r="A39" s="7" t="inlineStr">
        <is>
          <t>#</t>
        </is>
      </c>
      <c r="B39" s="7" t="inlineStr">
        <is>
          <t>Connection</t>
        </is>
      </c>
      <c r="C39" s="7" t="inlineStr">
        <is>
          <t>Tab</t>
        </is>
      </c>
      <c r="D39" s="7" t="inlineStr">
        <is>
          <t>Captured at</t>
        </is>
      </c>
      <c r="E39" s="7" t="inlineStr">
        <is>
          <t>Status</t>
        </is>
      </c>
      <c r="F39" s="7" t="inlineStr">
        <is>
          <t>Confidence</t>
        </is>
      </c>
      <c r="G39" s="7" t="inlineStr">
        <is>
          <t>AI Summary</t>
        </is>
      </c>
      <c r="H39" s="7" t="inlineStr">
        <is>
          <t>Anomalies detected</t>
        </is>
      </c>
      <c r="I39" s="7" t="inlineStr">
        <is>
          <t>Reviewer</t>
        </is>
      </c>
      <c r="J39" s="7" t="inlineStr">
        <is>
          <t>Review date</t>
        </is>
      </c>
      <c r="K39" s="7" t="inlineStr">
        <is>
          <t>Decision</t>
        </is>
      </c>
      <c r="L39" s="7" t="inlineStr">
        <is>
          <t>Screenshot</t>
        </is>
      </c>
    </row>
    <row r="40" ht="120" customHeight="1">
      <c r="A40" s="17" t="n">
        <v>15</v>
      </c>
      <c r="B40" s="18" t="inlineStr">
        <is>
          <t>org/main-repo</t>
        </is>
      </c>
      <c r="C40" s="18" t="inlineStr">
        <is>
          <t>Collaborators</t>
        </is>
      </c>
      <c r="D40" s="18" t="inlineStr"/>
      <c r="E40" s="15" t="inlineStr">
        <is>
          <t>✓ Clean</t>
        </is>
      </c>
      <c r="F40" s="17" t="inlineStr"/>
      <c r="G40" s="19" t="inlineStr"/>
      <c r="H40" s="19" t="inlineStr"/>
      <c r="I40" s="18" t="inlineStr"/>
      <c r="J40" s="18" t="inlineStr"/>
      <c r="K40" s="17" t="inlineStr">
        <is>
          <t>Auto-approved</t>
        </is>
      </c>
      <c r="L40" s="19" t="inlineStr">
        <is>
          <t>[Screenshot pasted here]</t>
        </is>
      </c>
    </row>
    <row r="41" ht="120" customHeight="1">
      <c r="A41" s="13" t="n">
        <v>16</v>
      </c>
      <c r="B41" s="14" t="inlineStr">
        <is>
          <t>org/main-repo</t>
        </is>
      </c>
      <c r="C41" s="14" t="inlineStr">
        <is>
          <t>Teams</t>
        </is>
      </c>
      <c r="D41" s="14" t="inlineStr"/>
      <c r="E41" s="15" t="inlineStr">
        <is>
          <t>✓ Clean</t>
        </is>
      </c>
      <c r="F41" s="13" t="inlineStr"/>
      <c r="G41" s="16" t="inlineStr"/>
      <c r="H41" s="16" t="inlineStr"/>
      <c r="I41" s="14" t="inlineStr"/>
      <c r="J41" s="14" t="inlineStr"/>
      <c r="K41" s="13" t="inlineStr">
        <is>
          <t>Auto-approved</t>
        </is>
      </c>
      <c r="L41" s="16" t="inlineStr">
        <is>
          <t>[Screenshot pasted here]</t>
        </is>
      </c>
    </row>
    <row r="42" ht="8" customHeight="1"/>
    <row r="43" ht="24" customHeight="1">
      <c r="A43" s="6" t="inlineStr">
        <is>
          <t xml:space="preserve">  GitHub  —  org/data-pipelines</t>
        </is>
      </c>
    </row>
    <row r="44" ht="20" customHeight="1">
      <c r="A44" s="7" t="inlineStr">
        <is>
          <t>#</t>
        </is>
      </c>
      <c r="B44" s="7" t="inlineStr">
        <is>
          <t>Connection</t>
        </is>
      </c>
      <c r="C44" s="7" t="inlineStr">
        <is>
          <t>Tab</t>
        </is>
      </c>
      <c r="D44" s="7" t="inlineStr">
        <is>
          <t>Captured at</t>
        </is>
      </c>
      <c r="E44" s="7" t="inlineStr">
        <is>
          <t>Status</t>
        </is>
      </c>
      <c r="F44" s="7" t="inlineStr">
        <is>
          <t>Confidence</t>
        </is>
      </c>
      <c r="G44" s="7" t="inlineStr">
        <is>
          <t>AI Summary</t>
        </is>
      </c>
      <c r="H44" s="7" t="inlineStr">
        <is>
          <t>Anomalies detected</t>
        </is>
      </c>
      <c r="I44" s="7" t="inlineStr">
        <is>
          <t>Reviewer</t>
        </is>
      </c>
      <c r="J44" s="7" t="inlineStr">
        <is>
          <t>Review date</t>
        </is>
      </c>
      <c r="K44" s="7" t="inlineStr">
        <is>
          <t>Decision</t>
        </is>
      </c>
      <c r="L44" s="7" t="inlineStr">
        <is>
          <t>Screenshot</t>
        </is>
      </c>
    </row>
    <row r="45" ht="120" customHeight="1">
      <c r="A45" s="17" t="n">
        <v>17</v>
      </c>
      <c r="B45" s="18" t="inlineStr">
        <is>
          <t>org/data-pipelines</t>
        </is>
      </c>
      <c r="C45" s="18" t="inlineStr">
        <is>
          <t>Collaborators</t>
        </is>
      </c>
      <c r="D45" s="18" t="inlineStr"/>
      <c r="E45" s="15" t="inlineStr">
        <is>
          <t>✓ Clean</t>
        </is>
      </c>
      <c r="F45" s="17" t="inlineStr"/>
      <c r="G45" s="19" t="inlineStr"/>
      <c r="H45" s="19" t="inlineStr"/>
      <c r="I45" s="18" t="inlineStr"/>
      <c r="J45" s="18" t="inlineStr"/>
      <c r="K45" s="17" t="inlineStr">
        <is>
          <t>Auto-approved</t>
        </is>
      </c>
      <c r="L45" s="19" t="inlineStr">
        <is>
          <t>[Screenshot pasted here]</t>
        </is>
      </c>
    </row>
    <row r="46" ht="120" customHeight="1">
      <c r="A46" s="13" t="n">
        <v>18</v>
      </c>
      <c r="B46" s="14" t="inlineStr">
        <is>
          <t>org/data-pipelines</t>
        </is>
      </c>
      <c r="C46" s="14" t="inlineStr">
        <is>
          <t>Teams</t>
        </is>
      </c>
      <c r="D46" s="14" t="inlineStr"/>
      <c r="E46" s="15" t="inlineStr">
        <is>
          <t>✓ Clean</t>
        </is>
      </c>
      <c r="F46" s="13" t="inlineStr"/>
      <c r="G46" s="16" t="inlineStr"/>
      <c r="H46" s="16" t="inlineStr"/>
      <c r="I46" s="14" t="inlineStr"/>
      <c r="J46" s="14" t="inlineStr"/>
      <c r="K46" s="13" t="inlineStr">
        <is>
          <t>Auto-approved</t>
        </is>
      </c>
      <c r="L46" s="16" t="inlineStr">
        <is>
          <t>[Screenshot pasted here]</t>
        </is>
      </c>
    </row>
    <row r="47" ht="8" customHeight="1"/>
    <row r="49" ht="28" customHeight="1">
      <c r="A49" s="20" t="inlineStr">
        <is>
          <t xml:space="preserve">  Audit Summary</t>
        </is>
      </c>
    </row>
    <row r="50" ht="20" customHeight="1">
      <c r="A50" s="21" t="inlineStr">
        <is>
          <t>Total screenshots captured</t>
        </is>
      </c>
      <c r="F50" s="17">
        <f>COUNTA(E4:E50)</f>
        <v/>
      </c>
    </row>
    <row r="51" ht="20" customHeight="1">
      <c r="A51" s="21" t="inlineStr">
        <is>
          <t>Clean (auto-approved)</t>
        </is>
      </c>
      <c r="F51" s="17">
        <f>COUNTIF(E4:E50,"✓ Clean")</f>
        <v/>
      </c>
    </row>
    <row r="52" ht="20" customHeight="1">
      <c r="A52" s="21" t="inlineStr">
        <is>
          <t>Anomalies detected</t>
        </is>
      </c>
      <c r="F52" s="17">
        <f>COUNTIF(E4:E50,"⚠ Anomaly")</f>
        <v/>
      </c>
    </row>
    <row r="53" ht="20" customHeight="1">
      <c r="A53" s="21" t="inlineStr">
        <is>
          <t>Pending human review</t>
        </is>
      </c>
      <c r="F53" s="17">
        <f>COUNTIF(K4:K50,"Pending review")</f>
        <v/>
      </c>
    </row>
    <row r="54" ht="20" customHeight="1">
      <c r="A54" s="21" t="inlineStr">
        <is>
          <t>Report generated</t>
        </is>
      </c>
      <c r="F54" s="17">
        <f>TEXT(NOW(),"DD-MMM-YYYY HH:MM")</f>
        <v/>
      </c>
    </row>
    <row r="55" ht="20" customHeight="1">
      <c r="A55" s="21" t="inlineStr">
        <is>
          <t>Next audit due</t>
        </is>
      </c>
      <c r="F55" s="17">
        <f>TEXT(EOMONTH(TODAY(),1)+1,"DD-MMM-YYYY")</f>
        <v/>
      </c>
    </row>
  </sheetData>
  <mergeCells count="27">
    <mergeCell ref="F52:L52"/>
    <mergeCell ref="A51:E51"/>
    <mergeCell ref="A18:L18"/>
    <mergeCell ref="H2:J2"/>
    <mergeCell ref="A3:L3"/>
    <mergeCell ref="E2:G2"/>
    <mergeCell ref="A54:E54"/>
    <mergeCell ref="A33:L33"/>
    <mergeCell ref="F53:L53"/>
    <mergeCell ref="A23:L23"/>
    <mergeCell ref="A8:L8"/>
    <mergeCell ref="F54:L54"/>
    <mergeCell ref="A38:L38"/>
    <mergeCell ref="A55:E55"/>
    <mergeCell ref="A50:E50"/>
    <mergeCell ref="A43:L43"/>
    <mergeCell ref="K2:L2"/>
    <mergeCell ref="A28:L28"/>
    <mergeCell ref="A13:L13"/>
    <mergeCell ref="F55:L55"/>
    <mergeCell ref="F51:L51"/>
    <mergeCell ref="A53:E53"/>
    <mergeCell ref="F50:L50"/>
    <mergeCell ref="A49:L49"/>
    <mergeCell ref="A52:E52"/>
    <mergeCell ref="A1:L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2026-05-27T07:34:43Z</dcterms:created>
  <dcterms:modified xmlns:dcterms="http://purl.org/dc/terms/" xmlns:xsi="http://www.w3.org/2001/XMLSchema-instance" xsi:type="dcterms:W3CDTF">2026-05-27T07:34:44Z</dcterms:modified>
</cp:coreProperties>
</file>